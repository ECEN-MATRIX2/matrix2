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b0dad7ab9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BOM" sheetId="1" r:id="R0e182865829d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7">
    <x:font>
      <x:sz val="11"/>
      <x:name val="Carlito"/>
    </x:font>
    <x:font>
      <x:sz val="11"/>
      <x:color rgb="FF193745"/>
      <x:name val="Arial"/>
    </x:font>
    <x:font>
      <x:b/>
      <x:sz val="22"/>
      <x:color rgb="FF193745"/>
      <x:name val="Arial"/>
    </x:font>
    <x:font>
      <x:sz val="11"/>
      <x:color rgb="FF526875"/>
      <x:name val="Arial"/>
    </x:font>
    <x:font>
      <x:b/>
      <x:sz val="12"/>
      <x:color rgb="FF193745"/>
      <x:name val="Arial"/>
    </x:font>
    <x:font>
      <x:b/>
      <x:sz val="11"/>
      <x:color rgb="FFFFFFFF"/>
      <x:name val="Arial"/>
    </x:font>
    <x:font>
      <x:sz val="10"/>
      <x:color rgb="FF1266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2EFF2"/>
      </x:patternFill>
    </x:fill>
    <x:fill>
      <x:patternFill patternType="solid">
        <x:fgColor rgb="FFFFF0CF"/>
      </x:patternFill>
    </x:fill>
    <x:fill>
      <x:patternFill patternType="solid">
        <x:fgColor rgb="FF1937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d378893fc48b8" /><Relationship Type="http://schemas.openxmlformats.org/officeDocument/2006/relationships/theme" Target="/xl/theme/theme1.xml" Id="R48fa88176bb142f9" /><Relationship Type="http://schemas.openxmlformats.org/officeDocument/2006/relationships/sharedStrings" Target="/xl/sharedStrings.xml" Id="Rce547c99d619449c" /><Relationship Type="http://schemas.openxmlformats.org/officeDocument/2006/relationships/worksheet" Target="/xl/worksheets/sheet1.xml" Id="R0e182865829d4c4c" /></Relationships>
</file>

<file path=xl/tables/table1.xml><?xml version="1.0" encoding="utf-8"?>
<x:table xmlns:x="http://schemas.openxmlformats.org/spreadsheetml/2006/main" id="1" name="RevM_BOM" displayName="RevM_BOM" ref="A8:H66" headerRowCount="1" totalsRowCount="0" totalsRowShown="0">
  <x:tableColumns count="8">
    <x:tableColumn id="1" name="References"/>
    <x:tableColumn id="2" name="Fit qty"/>
    <x:tableColumn id="3" name="Buy qty"/>
    <x:tableColumn id="4" name="Added qty"/>
    <x:tableColumn id="5" name="Selected MPN"/>
    <x:tableColumn id="6" name="Mouser part number"/>
    <x:tableColumn id="7" name="Value / function"/>
    <x:tableColumn id="8" name="Availability 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1e70ae73594b6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33" hidden="0" customWidth="1"/>
    <x:col min="2" max="2" width="8" hidden="0" customWidth="1"/>
    <x:col min="3" max="3" width="8" hidden="0" customWidth="1"/>
    <x:col min="4" max="4" width="9" hidden="0" customWidth="1"/>
    <x:col min="5" max="5" width="30" hidden="0" customWidth="1"/>
    <x:col min="6" max="6" width="29" hidden="0" customWidth="1"/>
    <x:col min="7" max="7" width="30" hidden="0" customWidth="1"/>
    <x:col min="8" max="8" width="44" hidden="0" customWidth="1"/>
    <x:col min="9" max="9" width="3" hidden="0" customWidth="1"/>
    <x:col min="10" max="10" width="74" hidden="0" customWidth="1"/>
    <x:col min="11" max="11" width="76" hidden="0" customWidth="1"/>
  </x:cols>
  <x:sheetData>
    <x:row r="1" ht="45" customHeight="1">
      <x:c r="A1" s="4" t="str">
        <x:v>NIU INTERMEDIATE / REV O BOM</x:v>
      </x:c>
      <x:c r="B1" s="4"/>
      <x:c r="C1" s="4"/>
      <x:c r="D1" s="4"/>
      <x:c r="E1" s="4"/>
      <x:c r="F1" s="4"/>
      <x:c r="G1" s="4"/>
      <x:c r="H1" s="4"/>
      <x:c r="I1" s="3"/>
      <x:c r="J1" s="3"/>
      <x:c r="K1" s="3"/>
    </x:row>
    <x:row r="2" ht="29" customHeight="1">
      <x:c r="A2" s="5" t="str">
        <x:v>36 V buck, isolated sensing, local 3.3 V and relay 12 V pass-through. 84 × 128 mm. 2026-10-08.</x:v>
      </x:c>
      <x:c r="B2" s="5"/>
      <x:c r="C2" s="5"/>
      <x:c r="D2" s="5"/>
      <x:c r="E2" s="5"/>
      <x:c r="F2" s="5"/>
      <x:c r="G2" s="5"/>
      <x:c r="H2" s="5"/>
      <x:c r="I2" s="3"/>
      <x:c r="J2" s="3"/>
      <x:c r="K2" s="3"/>
    </x:row>
    <x:row r="3" ht="31" customHeight="1">
      <x:c r="A3" s="6" t="str">
        <x:v>Full order: 57 Mouser SKUs. Added qty remains relative to Rev L. Rev N update: one extra two-pin header.</x:v>
      </x:c>
      <x:c r="B3" s="6"/>
      <x:c r="C3" s="6"/>
      <x:c r="D3" s="6"/>
      <x:c r="E3" s="6"/>
      <x:c r="F3" s="6"/>
      <x:c r="G3" s="6"/>
      <x:c r="H3" s="6"/>
      <x:c r="I3" s="3"/>
      <x:c r="J3" s="3"/>
      <x:c r="K3" s="3"/>
    </x:row>
    <x:row r="4" ht="35" customHeight="1">
      <x:c r="A4" s="7" t="str">
        <x:v>Prior stock evidence retained; increased header quantity not rechecked in live cart.</x:v>
      </x:c>
      <x:c r="B4" s="7"/>
      <x:c r="C4" s="7"/>
      <x:c r="D4" s="7"/>
      <x:c r="E4" s="7"/>
      <x:c r="F4" s="7"/>
      <x:c r="G4" s="7"/>
      <x:c r="H4" s="7"/>
      <x:c r="I4" s="3"/>
      <x:c r="J4" s="3"/>
      <x:c r="K4" s="3"/>
    </x:row>
    <x:row r="5" ht="33" customHeight="1">
      <x:c r="A5" s="3" t="str">
        <x:v>J14 parallels J5: pin 1 +12 V, pin 2 coil return. Local 3.3 V retained. Motor PCB unchanged.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0" customHeight="1">
      <x:c r="A6" s="8" t="str">
        <x:v>Fitted / buy / added</x:v>
      </x:c>
      <x:c r="B6" s="8" t="n">
        <x:f>SUM(B9:B66)</x:f>
        <x:v>120</x:v>
      </x:c>
      <x:c r="C6" s="8" t="n">
        <x:f>SUM(C9:C66)</x:f>
        <x:v>119</x:v>
      </x:c>
      <x:c r="D6" s="8" t="n">
        <x:f>SUM(D9:D66)</x:f>
        <x:v>34</x:v>
      </x:c>
      <x:c r="E6" s="3" t="str">
        <x:v>120 fitted parts; XT60 supplied by user. Rev O adds one header, with no new part number.</x:v>
      </x:c>
      <x:c r="F6" s="3"/>
      <x:c r="G6" s="3"/>
      <x:c r="H6" s="3"/>
      <x:c r="I6" s="3"/>
      <x:c r="J6" s="3"/>
      <x:c r="K6" s="3"/>
    </x:row>
    <x:row r="7" ht="62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36" customHeight="1">
      <x:c r="A8" s="10" t="str">
        <x:v>References</x:v>
      </x:c>
      <x:c r="B8" s="10" t="str">
        <x:v>Fit qty</x:v>
      </x:c>
      <x:c r="C8" s="10" t="str">
        <x:v>Buy qty</x:v>
      </x:c>
      <x:c r="D8" s="10" t="str">
        <x:v>Added qty</x:v>
      </x:c>
      <x:c r="E8" s="10" t="str">
        <x:v>Selected MPN</x:v>
      </x:c>
      <x:c r="F8" s="10" t="str">
        <x:v>Mouser part number</x:v>
      </x:c>
      <x:c r="G8" s="10" t="str">
        <x:v>Value / function</x:v>
      </x:c>
      <x:c r="H8" s="10" t="str">
        <x:v>Availability evidence</x:v>
      </x:c>
      <x:c r="I8" s="10" t="str"/>
      <x:c r="J8" s="10" t="str">
        <x:v>Source / purchasing link</x:v>
      </x:c>
      <x:c r="K8" s="10" t="str">
        <x:v>Engineering / stock detail</x:v>
      </x:c>
    </x:row>
    <x:row r="9" ht="78" customHeight="1">
      <x:c r="A9" s="3" t="str">
        <x:v>C1, C9, C10, C16, C17, C29</x:v>
      </x:c>
      <x:c r="B9" s="12" t="n">
        <x:v>6</x:v>
      </x:c>
      <x:c r="C9" s="12" t="n">
        <x:v>6</x:v>
      </x:c>
      <x:c r="D9" s="15" t="n">
        <x:v>1</x:v>
      </x:c>
      <x:c r="E9" s="13" t="str">
        <x:v>CNC6P1X7R2A475K250AE</x:v>
      </x:c>
      <x:c r="F9" s="13" t="str">
        <x:v>810-CNC6P1X7R2A475K2</x:v>
      </x:c>
      <x:c r="G9" s="3" t="str">
        <x:v>4.7u / 100V</x:v>
      </x:c>
      <x:c r="H9" s="3" t="str">
        <x:v>Rev L cart confirmed; added quantity not rechecked</x:v>
      </x:c>
      <x:c r="I9" s="3" t="str"/>
      <x:c r="J9" s="14" t="str">
        <x:v>https://www.mouser.com/ProductDetail/TDK/CNC6P1X7R2A475K250AE?qs=PzGy0jfpSMslEF4uGpLa7Q%3D%3D</x:v>
      </x:c>
      <x:c r="K9" s="3" t="str">
        <x:v>Original Rev L order confirmed by user/cart 2026-10-07. No new order placed. Added relative to Rev L: C29.</x:v>
      </x:c>
    </x:row>
    <x:row r="10" ht="70" customHeight="1">
      <x:c r="A10" s="3" t="str">
        <x:v>C2, C4, C7, C34, C35</x:v>
      </x:c>
      <x:c r="B10" s="12" t="n">
        <x:v>5</x:v>
      </x:c>
      <x:c r="C10" s="12" t="n">
        <x:v>5</x:v>
      </x:c>
      <x:c r="D10" s="15" t="n">
        <x:v>2</x:v>
      </x:c>
      <x:c r="E10" s="13" t="str">
        <x:v>C2012X7R2A104K125AA</x:v>
      </x:c>
      <x:c r="F10" s="13" t="str">
        <x:v>810-C2012X7R2A104K</x:v>
      </x:c>
      <x:c r="G10" s="3" t="str">
        <x:v>100n / 100V</x:v>
      </x:c>
      <x:c r="H10" s="3" t="str">
        <x:v>Rev L cart confirmed; added quantity not rechecked</x:v>
      </x:c>
      <x:c r="I10" s="3" t="str"/>
      <x:c r="J10" s="14" t="str">
        <x:v>https://www.mouser.com/en/ProductDetail/TDK/C2012X7R2A104K125AA?qs=NRhsANhppD9J0ZsT2%2Fo%2F7Q%3D%3D</x:v>
      </x:c>
      <x:c r="K10" s="3" t="str">
        <x:v>Original Rev L order confirmed by user/cart 2026-10-07. No new order placed. Added relative to Rev L: C34, C35.</x:v>
      </x:c>
    </x:row>
    <x:row r="11" ht="70" customHeight="1">
      <x:c r="A11" s="3" t="str">
        <x:v>C3, C30, C31, C36, C37</x:v>
      </x:c>
      <x:c r="B11" s="12" t="n">
        <x:v>5</x:v>
      </x:c>
      <x:c r="C11" s="12" t="n">
        <x:v>5</x:v>
      </x:c>
      <x:c r="D11" s="15" t="n">
        <x:v>4</x:v>
      </x:c>
      <x:c r="E11" s="13" t="str">
        <x:v>C2012X5R1C106K085AC</x:v>
      </x:c>
      <x:c r="F11" s="13" t="str">
        <x:v>810-C2012X5R1C106K-2</x:v>
      </x:c>
      <x:c r="G11" s="3" t="str">
        <x:v>10u / 16V</x:v>
      </x:c>
      <x:c r="H11" s="3" t="str">
        <x:v>Previous cart: Ships Now; quantity increased</x:v>
      </x:c>
      <x:c r="I11" s="3" t="str"/>
      <x:c r="J11" s="14" t="str">
        <x:v>https://www.mouser.com/en/ProductDetail/TDK/C2012X5R1C106K085AC?qs=sGAEpiMZZMs7ZEmUmaUL04RYFBjQqIMtFN%2FMKg4reUg%3D</x:v>
      </x:c>
      <x:c r="K11" s="3" t="str">
        <x:v>Reuses the existing 10 uF / 16 V SKU. Rev N adds C36 and C37 for U11; live cart quantity not rechecked. Added relative to Rev L: C30, C31, C36, C37.</x:v>
      </x:c>
    </x:row>
    <x:row r="12" ht="70" customHeight="1">
      <x:c r="A12" s="3" t="str">
        <x:v>C8, C32, C33</x:v>
      </x:c>
      <x:c r="B12" s="12" t="n">
        <x:v>3</x:v>
      </x:c>
      <x:c r="C12" s="12" t="n">
        <x:v>3</x:v>
      </x:c>
      <x:c r="D12" s="15" t="n">
        <x:v>2</x:v>
      </x:c>
      <x:c r="E12" s="13" t="str">
        <x:v>C0805C103K5RACTU</x:v>
      </x:c>
      <x:c r="F12" s="13" t="str">
        <x:v>80-C0805C103K5R</x:v>
      </x:c>
      <x:c r="G12" s="3" t="str">
        <x:v>10n / 50V</x:v>
      </x:c>
      <x:c r="H12" s="3" t="str">
        <x:v>Rev L cart confirmed; added quantity not rechecked</x:v>
      </x:c>
      <x:c r="I12" s="3" t="str"/>
      <x:c r="J12" s="14" t="str">
        <x:v>https://www.mouser.co.uk/en/ProductDetail/KEMET/C0805C103K5RACTU?qs=cw4evkOYbeJ17Si5k%2FymvA%3D%3D</x:v>
      </x:c>
      <x:c r="K12" s="3" t="str">
        <x:v>Original Rev L order confirmed by user/cart 2026-10-07. No new order placed. Added relative to Rev L: C32, C33.</x:v>
      </x:c>
    </x:row>
    <x:row r="13" ht="70" customHeight="1">
      <x:c r="A13" s="3" t="str">
        <x:v>C12, C14, C22, C25, C26, C27, C28</x:v>
      </x:c>
      <x:c r="B13" s="12" t="n">
        <x:v>7</x:v>
      </x:c>
      <x:c r="C13" s="12" t="n">
        <x:v>7</x:v>
      </x:c>
      <x:c r="D13" s="15" t="n">
        <x:v>4</x:v>
      </x:c>
      <x:c r="E13" s="13" t="str">
        <x:v>GRM188R72A104KA35D</x:v>
      </x:c>
      <x:c r="F13" s="13" t="str">
        <x:v>81-GRM188R72A104KA35</x:v>
      </x:c>
      <x:c r="G13" s="3" t="str">
        <x:v>100n/100V</x:v>
      </x:c>
      <x:c r="H13" s="3" t="str">
        <x:v>Rev L cart confirmed; added quantity not rechecked</x:v>
      </x:c>
      <x:c r="I13" s="3" t="str"/>
      <x:c r="J13" s="14" t="str">
        <x:v>https://www.mouser.com/es/ProductDetail/Murata-Electronics/GRM188R72A104KA35D?qs=P%252BBA3F6RM%2F5aaC9LFKRzYw%3D%3D</x:v>
      </x:c>
      <x:c r="K13" s="3" t="str">
        <x:v>Original Rev L order confirmed by user/cart 2026-10-07. No new order placed. Added relative to Rev L: C25, C26, C27, C28.</x:v>
      </x:c>
    </x:row>
    <x:row r="14" ht="78" customHeight="1">
      <x:c r="A14" s="3" t="str">
        <x:v>J2, J3, J4, J5, J6, J7, J8, J9, J10, J11, J12, J14</x:v>
      </x:c>
      <x:c r="B14" s="12" t="n">
        <x:v>12</x:v>
      </x:c>
      <x:c r="C14" s="12" t="n">
        <x:v>12</x:v>
      </x:c>
      <x:c r="D14" s="15" t="n">
        <x:v>2</x:v>
      </x:c>
      <x:c r="E14" s="13" t="str">
        <x:v>M20-9990245</x:v>
      </x:c>
      <x:c r="F14" s="13" t="str">
        <x:v>855-M20-9990245</x:v>
      </x:c>
      <x:c r="G14" s="3" t="str">
        <x:v>2-pin 2.54 mm header</x:v>
      </x:c>
      <x:c r="H14" s="3" t="str">
        <x:v>Previous cart: Ships Now; quantity increased</x:v>
      </x:c>
      <x:c r="I14" s="3" t="str"/>
      <x:c r="J14" s="14" t="str">
        <x:v>https://www.mouser.com/en/ProductDetail/Harwin/M20-9990245?qs=Jph8NoUxIfUDXEB%252Bi9kJRA%3D%3D</x:v>
      </x:c>
      <x:c r="K14" s="3" t="str">
        <x:v>Rev O adds J14, a parallel external 12 V relay header. Twelve fitted two-pin headers. One extra relative to Rev N. If already bought Rev M, reuse the spare header formerly assigned to J13. Quantity availability not rechecked. Added relative to Rev L: J12, J14.</x:v>
      </x:c>
    </x:row>
    <x:row r="15" ht="70" customHeight="1">
      <x:c r="A15" s="3" t="str">
        <x:v>R10, R15, R19, R46</x:v>
      </x:c>
      <x:c r="B15" s="12" t="n">
        <x:v>4</x:v>
      </x:c>
      <x:c r="C15" s="12" t="n">
        <x:v>4</x:v>
      </x:c>
      <x:c r="D15" s="15" t="n">
        <x:v>1</x:v>
      </x:c>
      <x:c r="E15" s="13" t="str">
        <x:v>RT0603BRD0710KL</x:v>
      </x:c>
      <x:c r="F15" s="13" t="str">
        <x:v>603-RT0603BRD0710KL</x:v>
      </x:c>
      <x:c r="G15" s="3" t="str">
        <x:v>10k</x:v>
      </x:c>
      <x:c r="H15" s="3" t="str">
        <x:v>Rev L cart confirmed; added quantity not rechecked</x:v>
      </x:c>
      <x:c r="I15" s="3" t="str"/>
      <x:c r="J15" s="14" t="str">
        <x:v>https://br.mouser.com/en/ProductDetail/YAGEO/RT0603BRD0710KL?qs=Br90QIIERxSXuxEMyECqGA%3D%3D</x:v>
      </x:c>
      <x:c r="K15" s="3" t="str">
        <x:v>Original Rev L order confirmed by user/cart 2026-10-07. No new order placed. Added relative to Rev L: R46.</x:v>
      </x:c>
    </x:row>
    <x:row r="16" ht="70" customHeight="1">
      <x:c r="A16" s="3" t="str">
        <x:v>R21, R35, R36, R37, R38, R39, R40</x:v>
      </x:c>
      <x:c r="B16" s="12" t="n">
        <x:v>7</x:v>
      </x:c>
      <x:c r="C16" s="12" t="n">
        <x:v>7</x:v>
      </x:c>
      <x:c r="D16" s="15" t="n">
        <x:v>6</x:v>
      </x:c>
      <x:c r="E16" s="13" t="str">
        <x:v>RC0603FR-07100RL</x:v>
      </x:c>
      <x:c r="F16" s="13" t="str">
        <x:v>603-RC0603FR-07100RL</x:v>
      </x:c>
      <x:c r="G16" s="3" t="str">
        <x:v>100R</x:v>
      </x:c>
      <x:c r="H16" s="3" t="str">
        <x:v>Rev L cart confirmed; added quantity not rechecked</x:v>
      </x:c>
      <x:c r="I16" s="3" t="str"/>
      <x:c r="J16" s="14" t="str">
        <x:v>https://www.mouser.fr/fr/ProductDetail/YAGEO/RC0603FR-07100RL?qs=NEN%2FsE%2FLsvPIwIWKCOS4%2FA%3D%3D</x:v>
      </x:c>
      <x:c r="K16" s="3" t="str">
        <x:v>Original Rev L order confirmed by user/cart 2026-10-07. No new order placed. Added relative to Rev L: R35, R36, R37, R38, R39, R40.</x:v>
      </x:c>
    </x:row>
    <x:row r="17" ht="70" customHeight="1">
      <x:c r="A17" s="3" t="str">
        <x:v>R31, R32, R41, R42, R43, R44</x:v>
      </x:c>
      <x:c r="B17" s="12" t="n">
        <x:v>6</x:v>
      </x:c>
      <x:c r="C17" s="12" t="n">
        <x:v>6</x:v>
      </x:c>
      <x:c r="D17" s="15" t="n">
        <x:v>4</x:v>
      </x:c>
      <x:c r="E17" s="13" t="str">
        <x:v>RT0603BRD074K02L</x:v>
      </x:c>
      <x:c r="F17" s="13" t="str">
        <x:v>603-RT0603BRD074K02L</x:v>
      </x:c>
      <x:c r="G17" s="3" t="str">
        <x:v>4.02k</x:v>
      </x:c>
      <x:c r="H17" s="3" t="str">
        <x:v>Rev L cart confirmed; added quantity not rechecked</x:v>
      </x:c>
      <x:c r="I17" s="3" t="str"/>
      <x:c r="J17" s="14" t="str">
        <x:v>https://au.mouser.com/en/ProductDetail/YAGEO/RT0603BRD074K02L?qs=sGAEpiMZZMvdGkrng054t6XtPyronp4Q7W5csGlaVCI%3D</x:v>
      </x:c>
      <x:c r="K17" s="3" t="str">
        <x:v>Original Rev L order confirmed by user/cart 2026-10-07. No new order placed. Added relative to Rev L: R41, R42, R43, R44.</x:v>
      </x:c>
    </x:row>
    <x:row r="18" ht="70" customHeight="1">
      <x:c r="A18" s="3" t="str">
        <x:v>R33, R34</x:v>
      </x:c>
      <x:c r="B18" s="12" t="n">
        <x:v>2</x:v>
      </x:c>
      <x:c r="C18" s="12" t="n">
        <x:v>2</x:v>
      </x:c>
      <x:c r="D18" s="15" t="n">
        <x:v>2</x:v>
      </x:c>
      <x:c r="E18" s="13" t="str">
        <x:v>WSL25125L000FEA18</x:v>
      </x:c>
      <x:c r="F18" s="13" t="str">
        <x:v>71-WSL25125L000FEA18</x:v>
      </x:c>
      <x:c r="G18" s="3" t="str">
        <x:v>5m / 2W / 1%</x:v>
      </x:c>
      <x:c r="H18" s="3" t="str">
        <x:v>Indexed in stock; cart not verified</x:v>
      </x:c>
      <x:c r="I18" s="3" t="str"/>
      <x:c r="J18" s="14" t="str">
        <x:v>https://www.mouser.com/en/ProductDetail/Vishay-Dale/WSL25125L000FEA18?qs=ViWNInbc%252BeXPcEEx0d1CiQ%3D%3D</x:v>
      </x:c>
      <x:c r="K18" s="3" t="str">
        <x:v>Mouser index, about one month old; 5014 listed; retrieved 2026-10-07. Not reserved inventory. Added relative to Rev L: R33, R34.</x:v>
      </x:c>
    </x:row>
    <x:row r="19" ht="70" customHeight="1">
      <x:c r="A19" s="3" t="str">
        <x:v>R45</x:v>
      </x:c>
      <x:c r="B19" s="12" t="n">
        <x:v>1</x:v>
      </x:c>
      <x:c r="C19" s="12" t="n">
        <x:v>1</x:v>
      </x:c>
      <x:c r="D19" s="15" t="n">
        <x:v>1</x:v>
      </x:c>
      <x:c r="E19" s="13" t="str">
        <x:v>RT0603FRE0718K2L</x:v>
      </x:c>
      <x:c r="F19" s="13" t="str">
        <x:v>603-RT0603FRE0718K2L</x:v>
      </x:c>
      <x:c r="G19" s="3" t="str">
        <x:v>18.2k / 1%</x:v>
      </x:c>
      <x:c r="H19" s="3" t="str">
        <x:v>Indexed in stock; cart not verified</x:v>
      </x:c>
      <x:c r="I19" s="3" t="str"/>
      <x:c r="J19" s="14" t="str">
        <x:v>https://www.mouser.co.uk/en/ProductDetail/YAGEO/RT0603FRE0718K2L?qs=sGAEpiMZZMtG0KNrPCHnjTg0x5DoQJ5PyiQpL8RV%252Bt4%3D</x:v>
      </x:c>
      <x:c r="K19" s="3" t="str">
        <x:v>Mouser regional indexed listing; 14882 listed; retrieved 2026-10-07. Not reserved inventory. Added relative to Rev L: R45.</x:v>
      </x:c>
    </x:row>
    <x:row r="20" ht="70" customHeight="1">
      <x:c r="A20" s="3" t="str">
        <x:v>U7, U8</x:v>
      </x:c>
      <x:c r="B20" s="12" t="n">
        <x:v>2</x:v>
      </x:c>
      <x:c r="C20" s="12" t="n">
        <x:v>2</x:v>
      </x:c>
      <x:c r="D20" s="15" t="n">
        <x:v>2</x:v>
      </x:c>
      <x:c r="E20" s="13" t="str">
        <x:v>INA237AIDGSR</x:v>
      </x:c>
      <x:c r="F20" s="13" t="str">
        <x:v>595-INA237AIDGSR</x:v>
      </x:c>
      <x:c r="G20" s="3" t="str">
        <x:v>INA237: U7 0x40; U8 0x41</x:v>
      </x:c>
      <x:c r="H20" s="3" t="str">
        <x:v>Indexed in stock; cart not verified</x:v>
      </x:c>
      <x:c r="I20" s="3" t="str"/>
      <x:c r="J20" s="14" t="str">
        <x:v>https://www.mouser.com/en/ProductDetail/Texas-Instruments/INA237AIDGSR?qs=CiayqK2gdcIU2cM0wwJ5Kg%3D%3D</x:v>
      </x:c>
      <x:c r="K20" s="3" t="str">
        <x:v>Mouser index, 5 days old; 11766 listed; retrieved 2026-10-07. Not reserved inventory. Added relative to Rev L: U7, U8.</x:v>
      </x:c>
    </x:row>
    <x:row r="21" ht="70" customHeight="1">
      <x:c r="A21" s="3" t="str">
        <x:v>U9</x:v>
      </x:c>
      <x:c r="B21" s="12" t="n">
        <x:v>1</x:v>
      </x:c>
      <x:c r="C21" s="12" t="n">
        <x:v>1</x:v>
      </x:c>
      <x:c r="D21" s="15" t="n">
        <x:v>1</x:v>
      </x:c>
      <x:c r="E21" s="13" t="str">
        <x:v>ISO1640BQDRQ1</x:v>
      </x:c>
      <x:c r="F21" s="13" t="str">
        <x:v>595-ISO1640BQDRQ1</x:v>
      </x:c>
      <x:c r="G21" s="3" t="str">
        <x:v>ISO1640B-Q1</x:v>
      </x:c>
      <x:c r="H21" s="3" t="str">
        <x:v>Indexed in stock; cart not verified</x:v>
      </x:c>
      <x:c r="I21" s="3" t="str"/>
      <x:c r="J21" s="14" t="str">
        <x:v>https://www.mouser.com/ProductDetail/Texas-Instruments/ISO1640BQDRQ1?qs=QNEnbhJQKvat3Z1mRPODGw%3D%3D</x:v>
      </x:c>
      <x:c r="K21" s="3" t="str">
        <x:v>Mouser indexed listing; 3531 listed; retrieved 2026-10-07. Not reserved inventory. Added relative to Rev L: U9.</x:v>
      </x:c>
    </x:row>
    <x:row r="22" ht="70" customHeight="1">
      <x:c r="A22" s="3" t="str">
        <x:v>U10</x:v>
      </x:c>
      <x:c r="B22" s="12" t="n">
        <x:v>1</x:v>
      </x:c>
      <x:c r="C22" s="12" t="n">
        <x:v>1</x:v>
      </x:c>
      <x:c r="D22" s="15" t="n">
        <x:v>1</x:v>
      </x:c>
      <x:c r="E22" s="13" t="str">
        <x:v>TPS7A4001DGNT</x:v>
      </x:c>
      <x:c r="F22" s="13" t="str">
        <x:v>595-TPS7A4001DGNT</x:v>
      </x:c>
      <x:c r="G22" s="3" t="str">
        <x:v>TPS7A4001 / 3.31V</x:v>
      </x:c>
      <x:c r="H22" s="3" t="str">
        <x:v>Indexed in stock; cart not verified</x:v>
      </x:c>
      <x:c r="I22" s="3" t="str"/>
      <x:c r="J22" s="14" t="str">
        <x:v>https://www.mouser.com/en/ProductDetail/Texas-Instruments/TPS7A4001DGNT?qs=JoYuLptCJEEEbrY1P5HfMQ%3D%3D</x:v>
      </x:c>
      <x:c r="K22" s="3" t="str">
        <x:v>Mouser indexed listing; 6139 listed; retrieved 2026-10-07. Not reserved inventory. Added relative to Rev L: U10.</x:v>
      </x:c>
    </x:row>
    <x:row r="23" ht="70" customHeight="1">
      <x:c r="A23" s="3" t="str">
        <x:v>C5, C6</x:v>
      </x:c>
      <x:c r="B23" s="12" t="n">
        <x:v>2</x:v>
      </x:c>
      <x:c r="C23" s="12" t="n">
        <x:v>2</x:v>
      </x:c>
      <x:c r="D23" s="12" t="n">
        <x:v>0</x:v>
      </x:c>
      <x:c r="E23" s="13" t="str">
        <x:v>GRM21BR71C105KA01L</x:v>
      </x:c>
      <x:c r="F23" s="13" t="str">
        <x:v>81-GRM40X105K16L</x:v>
      </x:c>
      <x:c r="G23" s="3" t="str">
        <x:v>1u / 16V</x:v>
      </x:c>
      <x:c r="H23" s="3" t="str">
        <x:v>Rev L cart/user: Ships Now, 2026-10-07</x:v>
      </x:c>
      <x:c r="I23" s="3" t="str"/>
      <x:c r="J23" s="14" t="str">
        <x:v>https://my.mouser.com/en/ProductDetail/Murata-Electronics/GRM21BR71C105KA01L?qs=WNiIrCCjU2Tw%2F0lnBzRiBw%3D%3D</x:v>
      </x:c>
      <x:c r="K23" s="3" t="str">
        <x:v>Original Rev L order confirmed by user/cart 2026-10-07. No new order placed.</x:v>
      </x:c>
    </x:row>
    <x:row r="24" ht="70" customHeight="1">
      <x:c r="A24" s="3" t="str">
        <x:v>C11</x:v>
      </x:c>
      <x:c r="B24" s="12" t="n">
        <x:v>1</x:v>
      </x:c>
      <x:c r="C24" s="12" t="n">
        <x:v>1</x:v>
      </x:c>
      <x:c r="D24" s="12" t="n">
        <x:v>0</x:v>
      </x:c>
      <x:c r="E24" s="13" t="str">
        <x:v>C1005X7S2A103K050BB</x:v>
      </x:c>
      <x:c r="F24" s="13" t="str">
        <x:v>810-C1005X7S2A103K</x:v>
      </x:c>
      <x:c r="G24" s="3" t="str">
        <x:v>10n/100V</x:v>
      </x:c>
      <x:c r="H24" s="3" t="str">
        <x:v>Rev L cart/user: Ships Now, 2026-10-07</x:v>
      </x:c>
      <x:c r="I24" s="3" t="str"/>
      <x:c r="J24" s="14" t="str">
        <x:v>https://www.mouser.com/en/ProductDetail/TDK/C1005X7S2A103K050BB?qs=NRhsANhppD%2Fx3aSsRvWeNg%3D%3D</x:v>
      </x:c>
      <x:c r="K24" s="3" t="str">
        <x:v>Original Rev L order confirmed by user/cart 2026-10-07. No new order placed.</x:v>
      </x:c>
    </x:row>
    <x:row r="25" ht="70" customHeight="1">
      <x:c r="A25" s="3" t="str">
        <x:v>C13</x:v>
      </x:c>
      <x:c r="B25" s="12" t="n">
        <x:v>1</x:v>
      </x:c>
      <x:c r="C25" s="12" t="n">
        <x:v>1</x:v>
      </x:c>
      <x:c r="D25" s="12" t="n">
        <x:v>0</x:v>
      </x:c>
      <x:c r="E25" s="13" t="str">
        <x:v>GRM188R61C475KE11D</x:v>
      </x:c>
      <x:c r="F25" s="13" t="str">
        <x:v>81-GRM188R61C475KE1D</x:v>
      </x:c>
      <x:c r="G25" s="3" t="str">
        <x:v>4.7u/16V</x:v>
      </x:c>
      <x:c r="H25" s="3" t="str">
        <x:v>Rev L cart/user: Ships Now, 2026-10-07</x:v>
      </x:c>
      <x:c r="I25" s="3" t="str"/>
      <x:c r="J25" s="14" t="str">
        <x:v>https://www.mouser.com/en/ProductDetail/Murata-Electronics/GRM188R61C475KE11D?qs=eeBpzGFlv%252B%252Bm7AuGy9xEcg%3D%3D</x:v>
      </x:c>
      <x:c r="K25" s="3" t="str">
        <x:v>Original Rev L order confirmed by user/cart 2026-10-07. No new order placed.</x:v>
      </x:c>
    </x:row>
    <x:row r="26" ht="70" customHeight="1">
      <x:c r="A26" s="3" t="str">
        <x:v>C15</x:v>
      </x:c>
      <x:c r="B26" s="12" t="n">
        <x:v>1</x:v>
      </x:c>
      <x:c r="C26" s="12" t="n">
        <x:v>1</x:v>
      </x:c>
      <x:c r="D26" s="12" t="n">
        <x:v>0</x:v>
      </x:c>
      <x:c r="E26" s="13" t="str">
        <x:v>C0603C473K3RACTU</x:v>
      </x:c>
      <x:c r="F26" s="13" t="str">
        <x:v>80-C0603C473K3R</x:v>
      </x:c>
      <x:c r="G26" s="3" t="str">
        <x:v>47n/25V</x:v>
      </x:c>
      <x:c r="H26" s="3" t="str">
        <x:v>Rev L cart/user: Ships Now, 2026-10-07</x:v>
      </x:c>
      <x:c r="I26" s="3" t="str"/>
      <x:c r="J26" s="14" t="str">
        <x:v>https://eu.mouser.com/en/ProductDetail/80-C0603C473K3R</x:v>
      </x:c>
      <x:c r="K26" s="3" t="str">
        <x:v>Original Rev L order confirmed by user/cart 2026-10-07. No new order placed.</x:v>
      </x:c>
    </x:row>
    <x:row r="27" ht="92" customHeight="1">
      <x:c r="A27" s="3" t="str">
        <x:v>C18, C20, C21</x:v>
      </x:c>
      <x:c r="B27" s="12" t="n">
        <x:v>3</x:v>
      </x:c>
      <x:c r="C27" s="12" t="n">
        <x:v>3</x:v>
      </x:c>
      <x:c r="D27" s="12" t="n">
        <x:v>0</x:v>
      </x:c>
      <x:c r="E27" s="13" t="str">
        <x:v>EEU-FR1J271L</x:v>
      </x:c>
      <x:c r="F27" s="13" t="str">
        <x:v>667-EEU-FR1J271L</x:v>
      </x:c>
      <x:c r="G27" s="3" t="str">
        <x:v>270u/63V</x:v>
      </x:c>
      <x:c r="H27" s="3" t="str">
        <x:v>Rev L cart/user: Ships Now, 2026-10-07</x:v>
      </x:c>
      <x:c r="I27" s="3" t="str"/>
      <x:c r="J27" s="14" t="str">
        <x:v>https://au.mouser.com/en/ProductDetail/Panasonic-Industry/EEU-FR1J271L?qs=sGAEpiMZZMvwFf0viD3Y3UQZTqF4ErAnkN3c2pq%252BSog%3D</x:v>
      </x:c>
      <x:c r="K27" s="3" t="str">
        <x:v>Original Rev L order confirmed by user/cart 2026-10-07. No new order placed.</x:v>
      </x:c>
    </x:row>
    <x:row r="28" ht="70" customHeight="1">
      <x:c r="A28" s="3" t="str">
        <x:v>C19</x:v>
      </x:c>
      <x:c r="B28" s="12" t="n">
        <x:v>1</x:v>
      </x:c>
      <x:c r="C28" s="12" t="n">
        <x:v>1</x:v>
      </x:c>
      <x:c r="D28" s="12" t="n">
        <x:v>0</x:v>
      </x:c>
      <x:c r="E28" s="13" t="str">
        <x:v>EEU-FR2A101</x:v>
      </x:c>
      <x:c r="F28" s="13" t="str">
        <x:v>667-EEU-FR2A101</x:v>
      </x:c>
      <x:c r="G28" s="3" t="str">
        <x:v>100u/100V</x:v>
      </x:c>
      <x:c r="H28" s="3" t="str">
        <x:v>Rev L cart/user: Ships Now, 2026-10-07</x:v>
      </x:c>
      <x:c r="I28" s="3" t="str"/>
      <x:c r="J28" s="14" t="str">
        <x:v>https://eu.mouser.com/ProductDetail/Panasonic/EEU-FR2A101?qs=n7vHx8wJlDHCZg6DRLuY%252Bw%3D%3D</x:v>
      </x:c>
      <x:c r="K28" s="3" t="str">
        <x:v>Original Rev L order confirmed by user/cart 2026-10-07. No new order placed.</x:v>
      </x:c>
    </x:row>
    <x:row r="29" ht="70" customHeight="1">
      <x:c r="A29" s="3" t="str">
        <x:v>C23</x:v>
      </x:c>
      <x:c r="B29" s="12" t="n">
        <x:v>1</x:v>
      </x:c>
      <x:c r="C29" s="12" t="n">
        <x:v>1</x:v>
      </x:c>
      <x:c r="D29" s="12" t="n">
        <x:v>0</x:v>
      </x:c>
      <x:c r="E29" s="13" t="str">
        <x:v>C0603C102J5GACTU</x:v>
      </x:c>
      <x:c r="F29" s="13" t="str">
        <x:v>80-C0603C102J5G</x:v>
      </x:c>
      <x:c r="G29" s="3" t="str">
        <x:v>1n/50V</x:v>
      </x:c>
      <x:c r="H29" s="3" t="str">
        <x:v>Rev L cart/user: Ships Now, 2026-10-07</x:v>
      </x:c>
      <x:c r="I29" s="3" t="str"/>
      <x:c r="J29" s="14" t="str">
        <x:v>https://www.mouser.de/de/ProductDetail/KEMET/C0603C102J5GACTU?qs=qG1y%252BaZBm0OW8vYbh%252BA%252Bbw%3D%3D</x:v>
      </x:c>
      <x:c r="K29" s="3" t="str">
        <x:v>Original Rev L order confirmed by user/cart 2026-10-07. No new order placed.</x:v>
      </x:c>
    </x:row>
    <x:row r="30" ht="70" customHeight="1">
      <x:c r="A30" s="3" t="str">
        <x:v>C24</x:v>
      </x:c>
      <x:c r="B30" s="12" t="n">
        <x:v>1</x:v>
      </x:c>
      <x:c r="C30" s="12" t="n">
        <x:v>1</x:v>
      </x:c>
      <x:c r="D30" s="12" t="n">
        <x:v>0</x:v>
      </x:c>
      <x:c r="E30" s="13" t="str">
        <x:v>GRM1885C1H101JA01D</x:v>
      </x:c>
      <x:c r="F30" s="13" t="str">
        <x:v>81-GRM39C101J50</x:v>
      </x:c>
      <x:c r="G30" s="3" t="str">
        <x:v>100p/50V</x:v>
      </x:c>
      <x:c r="H30" s="3" t="str">
        <x:v>Rev L cart/user: Ships Now, 2026-10-07</x:v>
      </x:c>
      <x:c r="I30" s="3" t="str"/>
      <x:c r="J30" s="14" t="str">
        <x:v>https://nl.mouser.com/ProductDetail/Murata-Electronics/GRM1885C1H101JA01D?qs=H3lwsW1hsDt1I4guwPQ00A%3D%3D</x:v>
      </x:c>
      <x:c r="K30" s="3" t="str">
        <x:v>Original Rev L order confirmed by user/cart 2026-10-07. No new order placed.</x:v>
      </x:c>
    </x:row>
    <x:row r="31" ht="70" customHeight="1">
      <x:c r="A31" s="3" t="str">
        <x:v>D1</x:v>
      </x:c>
      <x:c r="B31" s="12" t="n">
        <x:v>1</x:v>
      </x:c>
      <x:c r="C31" s="12" t="n">
        <x:v>1</x:v>
      </x:c>
      <x:c r="D31" s="12" t="n">
        <x:v>0</x:v>
      </x:c>
      <x:c r="E31" s="13" t="str">
        <x:v>SS110-LTP</x:v>
      </x:c>
      <x:c r="F31" s="13" t="str">
        <x:v>833-SS110-LTP</x:v>
      </x:c>
      <x:c r="G31" s="3" t="str">
        <x:v>SS110</x:v>
      </x:c>
      <x:c r="H31" s="3" t="str">
        <x:v>Rev L cart/user: Ships Now, 2026-10-07</x:v>
      </x:c>
      <x:c r="I31" s="3" t="str"/>
      <x:c r="J31" s="14" t="str">
        <x:v>https://www.mouser.pl/ProductDetail/Micro-Commercial-Components-MCC/SS110-LTP?qs=cLwp4wpikzD6Qv6YsbIGng%3D%3D</x:v>
      </x:c>
      <x:c r="K31" s="3" t="str">
        <x:v>Original Rev L order confirmed by user/cart 2026-10-07. No new order placed.</x:v>
      </x:c>
    </x:row>
    <x:row r="32" ht="78" customHeight="1">
      <x:c r="A32" s="3" t="str">
        <x:v>D2</x:v>
      </x:c>
      <x:c r="B32" s="12" t="n">
        <x:v>1</x:v>
      </x:c>
      <x:c r="C32" s="12" t="n">
        <x:v>1</x:v>
      </x:c>
      <x:c r="D32" s="12" t="n">
        <x:v>0</x:v>
      </x:c>
      <x:c r="E32" s="13" t="str">
        <x:v>SMBJ58A</x:v>
      </x:c>
      <x:c r="F32" s="13" t="str">
        <x:v>652-SMBJ58A</x:v>
      </x:c>
      <x:c r="G32" s="3" t="str">
        <x:v>SMBJ58A</x:v>
      </x:c>
      <x:c r="H32" s="3" t="str">
        <x:v>Rev L cart/user: Ships Now, 2026-10-07</x:v>
      </x:c>
      <x:c r="I32" s="3" t="str"/>
      <x:c r="J32" s="14" t="str">
        <x:v>https://www.mouser.com/en/ProductDetail/Bourns/SMBJ58A?qs=%252Bf8Cd6aE5bzWheyRq8Oq0w%3D%3D</x:v>
      </x:c>
      <x:c r="K32" s="3" t="str">
        <x:v>Original Rev L order confirmed by user/cart 2026-10-07. No new order placed.</x:v>
      </x:c>
    </x:row>
    <x:row r="33" ht="70" customHeight="1">
      <x:c r="A33" s="3" t="str">
        <x:v>D3, D4</x:v>
      </x:c>
      <x:c r="B33" s="12" t="n">
        <x:v>2</x:v>
      </x:c>
      <x:c r="C33" s="12" t="n">
        <x:v>2</x:v>
      </x:c>
      <x:c r="D33" s="12" t="n">
        <x:v>0</x:v>
      </x:c>
      <x:c r="E33" s="13" t="str">
        <x:v>SS14-E3/61T</x:v>
      </x:c>
      <x:c r="F33" s="13" t="str">
        <x:v>625-SS14-E3</x:v>
      </x:c>
      <x:c r="G33" s="3" t="str">
        <x:v>SS14</x:v>
      </x:c>
      <x:c r="H33" s="3" t="str">
        <x:v>Rev L cart/user: Ships Now, 2026-10-07</x:v>
      </x:c>
      <x:c r="I33" s="3" t="str"/>
      <x:c r="J33" s="14" t="str">
        <x:v>https://www.mouser.com/es/ProductDetail/Vishay-Semiconductors/SS14-E3-61T?qs=x2jpVgRnAtMLNL7KZbtr8g%3D%3D</x:v>
      </x:c>
      <x:c r="K33" s="3" t="str">
        <x:v>Original Rev L order confirmed by user/cart 2026-10-07. No new order placed.</x:v>
      </x:c>
    </x:row>
    <x:row r="34" ht="70" customHeight="1">
      <x:c r="A34" s="3" t="str">
        <x:v>D5</x:v>
      </x:c>
      <x:c r="B34" s="12" t="n">
        <x:v>1</x:v>
      </x:c>
      <x:c r="C34" s="12" t="n">
        <x:v>1</x:v>
      </x:c>
      <x:c r="D34" s="12" t="n">
        <x:v>0</x:v>
      </x:c>
      <x:c r="E34" s="13" t="str">
        <x:v>LTST-C170KGKT</x:v>
      </x:c>
      <x:c r="F34" s="13" t="str">
        <x:v>859-LTST-C170KGKT</x:v>
      </x:c>
      <x:c r="G34" s="3" t="str">
        <x:v>5V ON / GREEN</x:v>
      </x:c>
      <x:c r="H34" s="3" t="str">
        <x:v>Rev L cart/user: Ships Now, 2026-10-07</x:v>
      </x:c>
      <x:c r="I34" s="3" t="str"/>
      <x:c r="J34" s="14" t="str">
        <x:v>https://eu.mouser.com/en/ProductDetail/LITEON/LTST-C170KGKT?qs=o1ACzGp%252Bek3F8d3sLmVFGg%3D%3D</x:v>
      </x:c>
      <x:c r="K34" s="3" t="str">
        <x:v>Original Rev L order confirmed by user/cart 2026-10-07. No new order placed.</x:v>
      </x:c>
    </x:row>
    <x:row r="35" ht="70" customHeight="1">
      <x:c r="A35" s="3" t="str">
        <x:v>D6</x:v>
      </x:c>
      <x:c r="B35" s="12" t="n">
        <x:v>1</x:v>
      </x:c>
      <x:c r="C35" s="12" t="n">
        <x:v>1</x:v>
      </x:c>
      <x:c r="D35" s="12" t="n">
        <x:v>0</x:v>
      </x:c>
      <x:c r="E35" s="13" t="str">
        <x:v>LTST-C170KSKT</x:v>
      </x:c>
      <x:c r="F35" s="13" t="str">
        <x:v>859-LTST-C170KSKT</x:v>
      </x:c>
      <x:c r="G35" s="3" t="str">
        <x:v>CHARGE / AMBER</x:v>
      </x:c>
      <x:c r="H35" s="3" t="str">
        <x:v>Rev L cart/user: Ships Now, 2026-10-07</x:v>
      </x:c>
      <x:c r="I35" s="3" t="str"/>
      <x:c r="J35" s="14" t="str">
        <x:v>https://www.mouser.com/ProductDetail/LITEON/LTST-C170KSKT?qs=AE3TPmDL7tsrsw78NmHd9g%3D%3D</x:v>
      </x:c>
      <x:c r="K35" s="3" t="str">
        <x:v>Original Rev L order confirmed by user/cart 2026-10-07. No new order placed.</x:v>
      </x:c>
    </x:row>
    <x:row r="36" ht="70" customHeight="1">
      <x:c r="A36" s="3" t="str">
        <x:v>D7</x:v>
      </x:c>
      <x:c r="B36" s="12" t="n">
        <x:v>1</x:v>
      </x:c>
      <x:c r="C36" s="12" t="n">
        <x:v>1</x:v>
      </x:c>
      <x:c r="D36" s="12" t="n">
        <x:v>0</x:v>
      </x:c>
      <x:c r="E36" s="13" t="str">
        <x:v>STPST10H100SB-TR</x:v>
      </x:c>
      <x:c r="F36" s="13" t="str">
        <x:v>511-STPST10H100SB-TR</x:v>
      </x:c>
      <x:c r="G36" s="3" t="str">
        <x:v>STPST10H100SB</x:v>
      </x:c>
      <x:c r="H36" s="3" t="str">
        <x:v>Rev L cart/user: Ships Now, 2026-10-07</x:v>
      </x:c>
      <x:c r="I36" s="3" t="str"/>
      <x:c r="J36" s="14" t="str">
        <x:v>https://www.mouser.de/de/ProductDetail/STMicroelectronics/STPST10H100SB-TR?qs=Jm2GQyTW%2Fbh7JNyZ273QjA%3D%3D</x:v>
      </x:c>
      <x:c r="K36" s="3" t="str">
        <x:v>Original Rev L order confirmed by user/cart 2026-10-07. No new order placed.</x:v>
      </x:c>
    </x:row>
    <x:row r="37" ht="70" customHeight="1">
      <x:c r="A37" s="3" t="str">
        <x:v>F1, F3</x:v>
      </x:c>
      <x:c r="B37" s="12" t="n">
        <x:v>2</x:v>
      </x:c>
      <x:c r="C37" s="12" t="n">
        <x:v>2</x:v>
      </x:c>
      <x:c r="D37" s="12" t="n">
        <x:v>0</x:v>
      </x:c>
      <x:c r="E37" s="13" t="str">
        <x:v>3403.0284.23</x:v>
      </x:c>
      <x:c r="F37" s="13" t="str">
        <x:v>693-3403.0284.23</x:v>
      </x:c>
      <x:c r="G37" s="3" t="str">
        <x:v>10A / 125VDC</x:v>
      </x:c>
      <x:c r="H37" s="3" t="str">
        <x:v>Rev L cart/user: Ships Now, 2026-10-07</x:v>
      </x:c>
      <x:c r="I37" s="3" t="str"/>
      <x:c r="J37" s="14" t="str">
        <x:v>https://www.mouser.com/en/ProductDetail/Schurter/3403.0284.23?qs=n51ddIYULBnOdP86rljzJw%3D%3D</x:v>
      </x:c>
      <x:c r="K37" s="3" t="str">
        <x:v>Original Rev L order confirmed by user/cart 2026-10-07. No new order placed.</x:v>
      </x:c>
    </x:row>
    <x:row r="38" ht="70" customHeight="1">
      <x:c r="A38" s="3" t="str">
        <x:v>F2</x:v>
      </x:c>
      <x:c r="B38" s="12" t="n">
        <x:v>1</x:v>
      </x:c>
      <x:c r="C38" s="12" t="n">
        <x:v>1</x:v>
      </x:c>
      <x:c r="D38" s="12" t="n">
        <x:v>0</x:v>
      </x:c>
      <x:c r="E38" s="13" t="str">
        <x:v>0454001.MR</x:v>
      </x:c>
      <x:c r="F38" s="13" t="str">
        <x:v>576-0454001.MR</x:v>
      </x:c>
      <x:c r="G38" s="3" t="str">
        <x:v>1A / 125VDC</x:v>
      </x:c>
      <x:c r="H38" s="3" t="str">
        <x:v>Rev L cart/user: Ships Now, 2026-10-07</x:v>
      </x:c>
      <x:c r="I38" s="3" t="str"/>
      <x:c r="J38" s="14" t="str">
        <x:v>https://my.mouser.com/ProductDetail/Littelfuse/0454001MR?qs=OJFHm2hVE4HNO1R0t5yEZQ%3D%3D</x:v>
      </x:c>
      <x:c r="K38" s="3" t="str">
        <x:v>Original Rev L order confirmed by user/cart 2026-10-07. No new order placed.</x:v>
      </x:c>
    </x:row>
    <x:row r="39" ht="70" customHeight="1">
      <x:c r="A39" s="3" t="str">
        <x:v>J1</x:v>
      </x:c>
      <x:c r="B39" s="12" t="n">
        <x:v>1</x:v>
      </x:c>
      <x:c r="C39" s="12" t="n">
        <x:v>0</x:v>
      </x:c>
      <x:c r="D39" s="12" t="n">
        <x:v>0</x:v>
      </x:c>
      <x:c r="E39" s="13" t="str">
        <x:v>XT60-M</x:v>
      </x:c>
      <x:c r="F39" s="13" t="str">
        <x:v>USER SUPPLIED</x:v>
      </x:c>
      <x:c r="G39" s="3" t="str">
        <x:v>BATTERY XT60</x:v>
      </x:c>
      <x:c r="H39" s="3" t="str">
        <x:v>User supplied</x:v>
      </x:c>
      <x:c r="I39" s="3" t="str"/>
      <x:c r="J39" s="14" t="str"/>
      <x:c r="K39" s="3" t="str">
        <x:v>XT60 already owned. Verify physical fit/polarity.</x:v>
      </x:c>
    </x:row>
    <x:row r="40" ht="92" customHeight="1">
      <x:c r="A40" s="3" t="str">
        <x:v>K1</x:v>
      </x:c>
      <x:c r="B40" s="12" t="n">
        <x:v>1</x:v>
      </x:c>
      <x:c r="C40" s="12" t="n">
        <x:v>1</x:v>
      </x:c>
      <x:c r="D40" s="12" t="n">
        <x:v>0</x:v>
      </x:c>
      <x:c r="E40" s="13" t="str">
        <x:v>G7SA-2A2B DC12</x:v>
      </x:c>
      <x:c r="F40" s="13" t="str">
        <x:v>653-G7SA-2A2BDC12</x:v>
      </x:c>
      <x:c r="G40" s="3" t="str">
        <x:v>G7SA-2A2B DC12</x:v>
      </x:c>
      <x:c r="H40" s="3" t="str">
        <x:v>Rev L cart/user: Ships Now, 2026-10-07</x:v>
      </x:c>
      <x:c r="I40" s="3" t="str"/>
      <x:c r="J40" s="14" t="str">
        <x:v>https://au.mouser.com/en/ProductDetail/Omron-Automation-and-Safety/G7SA-2A2BDC12?qs=sGAEpiMZZMv0DJfhVcWlK5zwfu5A3fu0%2F9SChoOJPop%252BkWRK6kVRDw%3D%3D</x:v>
      </x:c>
      <x:c r="K40" s="3" t="str">
        <x:v>Original Rev L order confirmed by user/cart 2026-10-07. No new order placed.</x:v>
      </x:c>
    </x:row>
    <x:row r="41" ht="78" customHeight="1">
      <x:c r="A41" s="3" t="str">
        <x:v>L1</x:v>
      </x:c>
      <x:c r="B41" s="12" t="n">
        <x:v>1</x:v>
      </x:c>
      <x:c r="C41" s="12" t="n">
        <x:v>1</x:v>
      </x:c>
      <x:c r="D41" s="12" t="n">
        <x:v>0</x:v>
      </x:c>
      <x:c r="E41" s="13" t="str">
        <x:v>SRP1265A-330M</x:v>
      </x:c>
      <x:c r="F41" s="13" t="str">
        <x:v>652-SRP1265A-330M</x:v>
      </x:c>
      <x:c r="G41" s="3" t="str">
        <x:v>33uH / SRP1265A</x:v>
      </x:c>
      <x:c r="H41" s="3" t="str">
        <x:v>Rev L cart/user: Ships Now, 2026-10-07</x:v>
      </x:c>
      <x:c r="I41" s="3" t="str"/>
      <x:c r="J41" s="14" t="str">
        <x:v>https://lv.mouser.com/en/ProductDetail/Bourns/SRP1265A-330M?qs=sGAEpiMZZMukHu%252BjC5l7YXQ8MACoviigEP0bLU9HVeE%3D</x:v>
      </x:c>
      <x:c r="K41" s="3" t="str">
        <x:v>Original Rev L order confirmed by user/cart 2026-10-07. No new order placed.</x:v>
      </x:c>
    </x:row>
    <x:row r="42" ht="70" customHeight="1">
      <x:c r="A42" s="3" t="str">
        <x:v>Q1</x:v>
      </x:c>
      <x:c r="B42" s="12" t="n">
        <x:v>1</x:v>
      </x:c>
      <x:c r="C42" s="12" t="n">
        <x:v>1</x:v>
      </x:c>
      <x:c r="D42" s="12" t="n">
        <x:v>0</x:v>
      </x:c>
      <x:c r="E42" s="13" t="str">
        <x:v>DMN10H220L-7</x:v>
      </x:c>
      <x:c r="F42" s="13" t="str">
        <x:v>621-DMN10H220L-7</x:v>
      </x:c>
      <x:c r="G42" s="3" t="str">
        <x:v>DMN10H220L-7</x:v>
      </x:c>
      <x:c r="H42" s="3" t="str">
        <x:v>Rev L cart/user: Ships Now, 2026-10-07</x:v>
      </x:c>
      <x:c r="I42" s="3" t="str"/>
      <x:c r="J42" s="14" t="str">
        <x:v>https://www.mouser.com/en/ProductDetail/Diodes-Incorporated/DMN10H220L-7?qs=M%2FOdCRO8QQ1UQcucluOqow%3D%3D</x:v>
      </x:c>
      <x:c r="K42" s="3" t="str">
        <x:v>Original Rev L order confirmed by user/cart 2026-10-07. No new order placed.</x:v>
      </x:c>
    </x:row>
    <x:row r="43" ht="70" customHeight="1">
      <x:c r="A43" s="3" t="str">
        <x:v>R1</x:v>
      </x:c>
      <x:c r="B43" s="12" t="n">
        <x:v>1</x:v>
      </x:c>
      <x:c r="C43" s="12" t="n">
        <x:v>1</x:v>
      </x:c>
      <x:c r="D43" s="12" t="n">
        <x:v>0</x:v>
      </x:c>
      <x:c r="E43" s="13" t="str">
        <x:v>RC0805FR-0712K1L</x:v>
      </x:c>
      <x:c r="F43" s="13" t="str">
        <x:v>603-RC0805FR-0712K1L</x:v>
      </x:c>
      <x:c r="G43" s="3" t="str">
        <x:v>12.1k / 1%</x:v>
      </x:c>
      <x:c r="H43" s="3" t="str">
        <x:v>Rev L cart/user: Ships Now, 2026-10-07</x:v>
      </x:c>
      <x:c r="I43" s="3" t="str"/>
      <x:c r="J43" s="14" t="str">
        <x:v>https://www.mouser.com/en/ProductDetail/YAGEO/RC0805FR-0712K1L?qs=8Y8p%252BasKcI7lbohZuGlfhw%3D%3D</x:v>
      </x:c>
      <x:c r="K43" s="3" t="str">
        <x:v>Original Rev L order confirmed by user/cart 2026-10-07. No new order placed.</x:v>
      </x:c>
    </x:row>
    <x:row r="44" ht="70" customHeight="1">
      <x:c r="A44" s="3" t="str">
        <x:v>R2</x:v>
      </x:c>
      <x:c r="B44" s="12" t="n">
        <x:v>1</x:v>
      </x:c>
      <x:c r="C44" s="12" t="n">
        <x:v>1</x:v>
      </x:c>
      <x:c r="D44" s="12" t="n">
        <x:v>0</x:v>
      </x:c>
      <x:c r="E44" s="13" t="str">
        <x:v>RC0805FR-0715KL</x:v>
      </x:c>
      <x:c r="F44" s="13" t="str">
        <x:v>603-RC0805FR-0715KL</x:v>
      </x:c>
      <x:c r="G44" s="3" t="str">
        <x:v>15k / 1%</x:v>
      </x:c>
      <x:c r="H44" s="3" t="str">
        <x:v>Rev L cart/user: Ships Now, 2026-10-07</x:v>
      </x:c>
      <x:c r="I44" s="3" t="str"/>
      <x:c r="J44" s="14" t="str">
        <x:v>https://www.mouser.com/en/ProductDetail/YAGEO/RC0805FR-0715KL?qs=8Y8p%252BasKcI4opTh4HnCDuA%3D%3D</x:v>
      </x:c>
      <x:c r="K44" s="3" t="str">
        <x:v>Original Rev L order confirmed by user/cart 2026-10-07. No new order placed.</x:v>
      </x:c>
    </x:row>
    <x:row r="45" ht="70" customHeight="1">
      <x:c r="A45" s="3" t="str">
        <x:v>R3</x:v>
      </x:c>
      <x:c r="B45" s="12" t="n">
        <x:v>1</x:v>
      </x:c>
      <x:c r="C45" s="12" t="n">
        <x:v>1</x:v>
      </x:c>
      <x:c r="D45" s="12" t="n">
        <x:v>0</x:v>
      </x:c>
      <x:c r="E45" s="13" t="str">
        <x:v>RC0805FR-074K7L</x:v>
      </x:c>
      <x:c r="F45" s="13" t="str">
        <x:v>603-RC0805FR-074K7L</x:v>
      </x:c>
      <x:c r="G45" s="3" t="str">
        <x:v>4.7k</x:v>
      </x:c>
      <x:c r="H45" s="3" t="str">
        <x:v>Rev L cart/user: Ships Now, 2026-10-07</x:v>
      </x:c>
      <x:c r="I45" s="3" t="str"/>
      <x:c r="J45" s="14" t="str">
        <x:v>https://www.mouser.com/en/ProductDetail/YAGEO/RC0805FR-074K7L?qs=VLOqbHBAO5cYXbrd7RTmuQ%3D%3D</x:v>
      </x:c>
      <x:c r="K45" s="3" t="str">
        <x:v>Original Rev L order confirmed by user/cart 2026-10-07. No new order placed.</x:v>
      </x:c>
    </x:row>
    <x:row r="46" ht="70" customHeight="1">
      <x:c r="A46" s="3" t="str">
        <x:v>R4</x:v>
      </x:c>
      <x:c r="B46" s="12" t="n">
        <x:v>1</x:v>
      </x:c>
      <x:c r="C46" s="12" t="n">
        <x:v>1</x:v>
      </x:c>
      <x:c r="D46" s="12" t="n">
        <x:v>0</x:v>
      </x:c>
      <x:c r="E46" s="13" t="str">
        <x:v>RC0805FR-072K2L</x:v>
      </x:c>
      <x:c r="F46" s="13" t="str">
        <x:v>603-RC0805FR-072K2L</x:v>
      </x:c>
      <x:c r="G46" s="3" t="str">
        <x:v>2.2k</x:v>
      </x:c>
      <x:c r="H46" s="3" t="str">
        <x:v>Rev L cart/user: Ships Now, 2026-10-07</x:v>
      </x:c>
      <x:c r="I46" s="3" t="str"/>
      <x:c r="J46" s="14" t="str">
        <x:v>https://my.mouser.com/en/ProductDetail/YAGEO/RC0805FR-072K2L?qs=CSLd874fYV2eT6iKTza3nw%3D%3D</x:v>
      </x:c>
      <x:c r="K46" s="3" t="str">
        <x:v>Original Rev L order confirmed by user/cart 2026-10-07. No new order placed.</x:v>
      </x:c>
    </x:row>
    <x:row r="47" ht="70" customHeight="1">
      <x:c r="A47" s="3" t="str">
        <x:v>R5, R6</x:v>
      </x:c>
      <x:c r="B47" s="12" t="n">
        <x:v>2</x:v>
      </x:c>
      <x:c r="C47" s="12" t="n">
        <x:v>2</x:v>
      </x:c>
      <x:c r="D47" s="12" t="n">
        <x:v>0</x:v>
      </x:c>
      <x:c r="E47" s="13" t="str">
        <x:v>RC0805JR-070RL</x:v>
      </x:c>
      <x:c r="F47" s="13" t="str">
        <x:v>603-RC0805JR-070RL</x:v>
      </x:c>
      <x:c r="G47" s="3" t="str">
        <x:v>0R / ST GND LINK</x:v>
      </x:c>
      <x:c r="H47" s="3" t="str">
        <x:v>Rev L cart/user: Ships Now, 2026-10-07</x:v>
      </x:c>
      <x:c r="I47" s="3" t="str"/>
      <x:c r="J47" s="14" t="str">
        <x:v>https://eu.mouser.com/fr/ProductDetail/YAGEO/RC0805JR-070RL?qs=3ldFlDWnkKyEhdaPjQHEFA%3D%3D</x:v>
      </x:c>
      <x:c r="K47" s="3" t="str">
        <x:v>Original Rev L order confirmed by user/cart 2026-10-07. No new order placed.</x:v>
      </x:c>
    </x:row>
    <x:row r="48" ht="70" customHeight="1">
      <x:c r="A48" s="3" t="str">
        <x:v>R7</x:v>
      </x:c>
      <x:c r="B48" s="12" t="n">
        <x:v>1</x:v>
      </x:c>
      <x:c r="C48" s="12" t="n">
        <x:v>1</x:v>
      </x:c>
      <x:c r="D48" s="12" t="n">
        <x:v>0</x:v>
      </x:c>
      <x:c r="E48" s="13" t="str">
        <x:v>RC0805FR-072KL</x:v>
      </x:c>
      <x:c r="F48" s="13" t="str">
        <x:v>603-RC0805FR-072KL</x:v>
      </x:c>
      <x:c r="G48" s="3" t="str">
        <x:v>2k / 1%</x:v>
      </x:c>
      <x:c r="H48" s="3" t="str">
        <x:v>Rev L cart/user: Ships Now, 2026-10-07</x:v>
      </x:c>
      <x:c r="I48" s="3" t="str"/>
      <x:c r="J48" s="14" t="str">
        <x:v>https://www.mouser.com/es/ProductDetail/YAGEO/RC0805FR-072KL?qs=QrWOOBGzeCYk%2Fx0gjMNmqg%3D%3D</x:v>
      </x:c>
      <x:c r="K48" s="3" t="str">
        <x:v>Original Rev L order confirmed by user/cart 2026-10-07. No new order placed.</x:v>
      </x:c>
    </x:row>
    <x:row r="49" ht="70" customHeight="1">
      <x:c r="A49" s="3" t="str">
        <x:v>R8</x:v>
      </x:c>
      <x:c r="B49" s="12" t="n">
        <x:v>1</x:v>
      </x:c>
      <x:c r="C49" s="12" t="n">
        <x:v>1</x:v>
      </x:c>
      <x:c r="D49" s="12" t="n">
        <x:v>0</x:v>
      </x:c>
      <x:c r="E49" s="13" t="str">
        <x:v>RC0805FR-071KL</x:v>
      </x:c>
      <x:c r="F49" s="13" t="str">
        <x:v>603-RC0805FR-071KL</x:v>
      </x:c>
      <x:c r="G49" s="3" t="str">
        <x:v>1k / 1%</x:v>
      </x:c>
      <x:c r="H49" s="3" t="str">
        <x:v>Rev L cart/user: Ships Now, 2026-10-07</x:v>
      </x:c>
      <x:c r="I49" s="3" t="str"/>
      <x:c r="J49" s="14" t="str">
        <x:v>https://eu.mouser.com/en/ProductDetail/YAGEO/RC0805FR-071KL?qs=1ogmaHw32WJjeGY0DHXakQ%3D%3D</x:v>
      </x:c>
      <x:c r="K49" s="3" t="str">
        <x:v>Original Rev L order confirmed by user/cart 2026-10-07. No new order placed.</x:v>
      </x:c>
    </x:row>
    <x:row r="50" ht="70" customHeight="1">
      <x:c r="A50" s="3" t="str">
        <x:v>R9</x:v>
      </x:c>
      <x:c r="B50" s="12" t="n">
        <x:v>1</x:v>
      </x:c>
      <x:c r="C50" s="12" t="n">
        <x:v>1</x:v>
      </x:c>
      <x:c r="D50" s="12" t="n">
        <x:v>0</x:v>
      </x:c>
      <x:c r="E50" s="13" t="str">
        <x:v>RT0603BRD07442KL</x:v>
      </x:c>
      <x:c r="F50" s="13" t="str">
        <x:v>603-RT0603BRD07442KL</x:v>
      </x:c>
      <x:c r="G50" s="3" t="str">
        <x:v>442k</x:v>
      </x:c>
      <x:c r="H50" s="3" t="str">
        <x:v>Rev L cart/user: Ships Now, 2026-10-07</x:v>
      </x:c>
      <x:c r="I50" s="3" t="str"/>
      <x:c r="J50" s="14" t="str">
        <x:v>https://www.mouser.co.uk/en/ProductDetail/YAGEO/RT0603BRD07442KL?qs=oz8GmW2iRssLDMxi0Z4wvw%3D%3D</x:v>
      </x:c>
      <x:c r="K50" s="3" t="str">
        <x:v>Original Rev L order confirmed by user/cart 2026-10-07. No new order placed.</x:v>
      </x:c>
    </x:row>
    <x:row r="51" ht="70" customHeight="1">
      <x:c r="A51" s="3" t="str">
        <x:v>R11</x:v>
      </x:c>
      <x:c r="B51" s="12" t="n">
        <x:v>1</x:v>
      </x:c>
      <x:c r="C51" s="12" t="n">
        <x:v>1</x:v>
      </x:c>
      <x:c r="D51" s="12" t="n">
        <x:v>0</x:v>
      </x:c>
      <x:c r="E51" s="13" t="str">
        <x:v>RT0603BRD0749K9L</x:v>
      </x:c>
      <x:c r="F51" s="13" t="str">
        <x:v>603-RT0603BRD0749K9L</x:v>
      </x:c>
      <x:c r="G51" s="3" t="str">
        <x:v>49.9k</x:v>
      </x:c>
      <x:c r="H51" s="3" t="str">
        <x:v>Rev L cart/user: Ships Now, 2026-10-07</x:v>
      </x:c>
      <x:c r="I51" s="3" t="str"/>
      <x:c r="J51" s="14" t="str">
        <x:v>https://www.mouser.com/en/ProductDetail/YAGEO/RT0603BRD0749K9L?qs=%2Ff7pOCXLR5f6ipgUI5aOHA%3D%3D</x:v>
      </x:c>
      <x:c r="K51" s="3" t="str">
        <x:v>Original Rev L order confirmed by user/cart 2026-10-07. No new order placed.</x:v>
      </x:c>
    </x:row>
    <x:row r="52" ht="70" customHeight="1">
      <x:c r="A52" s="3" t="str">
        <x:v>R12</x:v>
      </x:c>
      <x:c r="B52" s="12" t="n">
        <x:v>1</x:v>
      </x:c>
      <x:c r="C52" s="12" t="n">
        <x:v>1</x:v>
      </x:c>
      <x:c r="D52" s="12" t="n">
        <x:v>0</x:v>
      </x:c>
      <x:c r="E52" s="13" t="str">
        <x:v>RT0603BRD0729K4L</x:v>
      </x:c>
      <x:c r="F52" s="13" t="str">
        <x:v>603-RT0603BRD0729K4L</x:v>
      </x:c>
      <x:c r="G52" s="3" t="str">
        <x:v>29.4k</x:v>
      </x:c>
      <x:c r="H52" s="3" t="str">
        <x:v>Rev L cart/user: Ships Now, 2026-10-07</x:v>
      </x:c>
      <x:c r="I52" s="3" t="str"/>
      <x:c r="J52" s="14" t="str">
        <x:v>https://www.mouser.de/ProductDetail/YAGEO/RT0603BRD0729K4L?qs=gY0y7AQI9SNgML1yP%2FE%2FLA%3D%3D</x:v>
      </x:c>
      <x:c r="K52" s="3" t="str">
        <x:v>Original Rev L order confirmed by user/cart 2026-10-07. No new order placed.</x:v>
      </x:c>
    </x:row>
    <x:row r="53" ht="70" customHeight="1">
      <x:c r="A53" s="3" t="str">
        <x:v>R13</x:v>
      </x:c>
      <x:c r="B53" s="12" t="n">
        <x:v>1</x:v>
      </x:c>
      <x:c r="C53" s="12" t="n">
        <x:v>1</x:v>
      </x:c>
      <x:c r="D53" s="12" t="n">
        <x:v>0</x:v>
      </x:c>
      <x:c r="E53" s="13" t="str">
        <x:v>TNPW0603100KBEEA</x:v>
      </x:c>
      <x:c r="F53" s="13" t="str">
        <x:v>71-TNPW0603100KBEEA</x:v>
      </x:c>
      <x:c r="G53" s="3" t="str">
        <x:v>100k</x:v>
      </x:c>
      <x:c r="H53" s="3" t="str">
        <x:v>Rev L cart/user: Ships Now, 2026-10-07</x:v>
      </x:c>
      <x:c r="I53" s="3" t="str"/>
      <x:c r="J53" s="14" t="str">
        <x:v>https://www.mouser.com/en/ProductDetail/Vishay/TNPW0603100KBEEA?qs=80vFmtL7BC9RsqlOJE1GSA%3D%3D</x:v>
      </x:c>
      <x:c r="K53" s="3" t="str">
        <x:v>Original Rev L order confirmed by user/cart 2026-10-07. No new order placed.</x:v>
      </x:c>
    </x:row>
    <x:row r="54" ht="70" customHeight="1">
      <x:c r="A54" s="3" t="str">
        <x:v>R14</x:v>
      </x:c>
      <x:c r="B54" s="12" t="n">
        <x:v>1</x:v>
      </x:c>
      <x:c r="C54" s="12" t="n">
        <x:v>1</x:v>
      </x:c>
      <x:c r="D54" s="12" t="n">
        <x:v>0</x:v>
      </x:c>
      <x:c r="E54" s="13" t="str">
        <x:v>RT0603BRD07383KL</x:v>
      </x:c>
      <x:c r="F54" s="13" t="str">
        <x:v>603-RT0603BRD07383KL</x:v>
      </x:c>
      <x:c r="G54" s="3" t="str">
        <x:v>383k</x:v>
      </x:c>
      <x:c r="H54" s="3" t="str">
        <x:v>Rev L cart/user: Ships Now, 2026-10-07</x:v>
      </x:c>
      <x:c r="I54" s="3" t="str"/>
      <x:c r="J54" s="14" t="str">
        <x:v>https://ar.mouser.com/ProductDetail/YAGEO/RT0603BRD07383KL?qs=m9MW%2FJRFFS0dA7lhmgxBlA%3D%3D</x:v>
      </x:c>
      <x:c r="K54" s="3" t="str">
        <x:v>Original Rev L order confirmed by user/cart 2026-10-07. No new order placed.</x:v>
      </x:c>
    </x:row>
    <x:row r="55" ht="70" customHeight="1">
      <x:c r="A55" s="3" t="str">
        <x:v>R16</x:v>
      </x:c>
      <x:c r="B55" s="12" t="n">
        <x:v>1</x:v>
      </x:c>
      <x:c r="C55" s="12" t="n">
        <x:v>1</x:v>
      </x:c>
      <x:c r="D55" s="12" t="n">
        <x:v>0</x:v>
      </x:c>
      <x:c r="E55" s="13" t="str">
        <x:v>WSL25126L000FEA</x:v>
      </x:c>
      <x:c r="F55" s="13" t="str">
        <x:v>71-WSL25126L000FEA</x:v>
      </x:c>
      <x:c r="G55" s="3" t="str">
        <x:v>6m / 1%</x:v>
      </x:c>
      <x:c r="H55" s="3" t="str">
        <x:v>Rev L cart/user: Ships Now, 2026-10-07</x:v>
      </x:c>
      <x:c r="I55" s="3" t="str"/>
      <x:c r="J55" s="14" t="str">
        <x:v>https://www.mouser.com/en/ProductDetail/Vishay-Dale/WSL25126L000FEA?qs=ViWNInbc%252BeXme%252BvwXzggfQ%3D%3D</x:v>
      </x:c>
      <x:c r="K55" s="3" t="str">
        <x:v>Original Rev L order confirmed by user/cart 2026-10-07. No new order placed.</x:v>
      </x:c>
    </x:row>
    <x:row r="56" ht="70" customHeight="1">
      <x:c r="A56" s="3" t="str">
        <x:v>R17</x:v>
      </x:c>
      <x:c r="B56" s="12" t="n">
        <x:v>1</x:v>
      </x:c>
      <x:c r="C56" s="12" t="n">
        <x:v>1</x:v>
      </x:c>
      <x:c r="D56" s="12" t="n">
        <x:v>0</x:v>
      </x:c>
      <x:c r="E56" s="13" t="str">
        <x:v>RC0603FR-071RL</x:v>
      </x:c>
      <x:c r="F56" s="13" t="str">
        <x:v>603-RC0603FR-071RL</x:v>
      </x:c>
      <x:c r="G56" s="3" t="str">
        <x:v>1R</x:v>
      </x:c>
      <x:c r="H56" s="3" t="str">
        <x:v>Rev L cart/user: Ships Now, 2026-10-07</x:v>
      </x:c>
      <x:c r="I56" s="3" t="str"/>
      <x:c r="J56" s="14" t="str">
        <x:v>https://www.mouser.com/en/ProductDetail/YAGEO/RC0603FR-071RL?qs=VU8sRB4EgwCpR02Ip%252BqS4Q%3D%3D</x:v>
      </x:c>
      <x:c r="K56" s="3" t="str">
        <x:v>Original Rev L order confirmed by user/cart 2026-10-07. No new order placed.</x:v>
      </x:c>
    </x:row>
    <x:row r="57" ht="70" customHeight="1">
      <x:c r="A57" s="3" t="str">
        <x:v>R18</x:v>
      </x:c>
      <x:c r="B57" s="12" t="n">
        <x:v>1</x:v>
      </x:c>
      <x:c r="C57" s="12" t="n">
        <x:v>1</x:v>
      </x:c>
      <x:c r="D57" s="12" t="n">
        <x:v>0</x:v>
      </x:c>
      <x:c r="E57" s="13" t="str">
        <x:v>TNPW0603294KBEEN</x:v>
      </x:c>
      <x:c r="F57" s="13" t="str">
        <x:v>71-TNPW0603294KBEEN</x:v>
      </x:c>
      <x:c r="G57" s="3" t="str">
        <x:v>294k</x:v>
      </x:c>
      <x:c r="H57" s="3" t="str">
        <x:v>Rev L cart/user: Ships Now, 2026-10-07</x:v>
      </x:c>
      <x:c r="I57" s="3" t="str"/>
      <x:c r="J57" s="14" t="str">
        <x:v>https://www.mouser.com/en/c/passive-components/resistors/smd-resistors-chip-resistors/?case+code+-+in=0603&amp;resistance=294+kOhms</x:v>
      </x:c>
      <x:c r="K57" s="3" t="str">
        <x:v>Original Rev L order confirmed by user/cart 2026-10-07. No new order placed.</x:v>
      </x:c>
    </x:row>
    <x:row r="58" ht="70" customHeight="1">
      <x:c r="A58" s="3" t="str">
        <x:v>R20</x:v>
      </x:c>
      <x:c r="B58" s="12" t="n">
        <x:v>1</x:v>
      </x:c>
      <x:c r="C58" s="12" t="n">
        <x:v>1</x:v>
      </x:c>
      <x:c r="D58" s="12" t="n">
        <x:v>0</x:v>
      </x:c>
      <x:c r="E58" s="13" t="str">
        <x:v>MCT0603MD1504BP500</x:v>
      </x:c>
      <x:c r="F58" s="13" t="str">
        <x:v>594-MCT0603MD1504BP5</x:v>
      </x:c>
      <x:c r="G58" s="3" t="str">
        <x:v>1.5M</x:v>
      </x:c>
      <x:c r="H58" s="3" t="str">
        <x:v>Rev L cart/user: Ships Now, 2026-10-07</x:v>
      </x:c>
      <x:c r="I58" s="3" t="str"/>
      <x:c r="J58" s="14" t="str">
        <x:v>https://eu.mouser.com/en/ProductDetail/Vishay-Beyschlag/MCT0603MD1504BP500?qs=sGAEpiMZZMvdGkrng054tzrpBd13L%252B8i4K4317ck3JXDtIoxWN0cIw%3D%3D</x:v>
      </x:c>
      <x:c r="K58" s="3" t="str">
        <x:v>Original Rev L order confirmed by user/cart 2026-10-07. No new order placed.</x:v>
      </x:c>
    </x:row>
    <x:row r="59" ht="70" customHeight="1">
      <x:c r="A59" s="3" t="str">
        <x:v>R22</x:v>
      </x:c>
      <x:c r="B59" s="12" t="n">
        <x:v>1</x:v>
      </x:c>
      <x:c r="C59" s="12" t="n">
        <x:v>1</x:v>
      </x:c>
      <x:c r="D59" s="12" t="n">
        <x:v>0</x:v>
      </x:c>
      <x:c r="E59" s="13" t="str">
        <x:v>RC0603FR-07100KL</x:v>
      </x:c>
      <x:c r="F59" s="13" t="str">
        <x:v>603-RC0603FR-07100KL</x:v>
      </x:c>
      <x:c r="G59" s="3" t="str">
        <x:v>100k</x:v>
      </x:c>
      <x:c r="H59" s="3" t="str">
        <x:v>Rev L cart/user: Ships Now, 2026-10-07</x:v>
      </x:c>
      <x:c r="I59" s="3" t="str"/>
      <x:c r="J59" s="14" t="str">
        <x:v>https://www.mouser.pl/pl/ProductDetail/YAGEO/RC0603FR-07100KL?qs=e1ok2LiJcmaihem8Va5%2Fsw%3D%3D</x:v>
      </x:c>
      <x:c r="K59" s="3" t="str">
        <x:v>Original Rev L order confirmed by user/cart 2026-10-07. No new order placed.</x:v>
      </x:c>
    </x:row>
    <x:row r="60" ht="70" customHeight="1">
      <x:c r="A60" s="3" t="str">
        <x:v>R23, R24, R25, R26, R27, R28, R29, R30</x:v>
      </x:c>
      <x:c r="B60" s="12" t="n">
        <x:v>8</x:v>
      </x:c>
      <x:c r="C60" s="12" t="n">
        <x:v>8</x:v>
      </x:c>
      <x:c r="D60" s="12" t="n">
        <x:v>0</x:v>
      </x:c>
      <x:c r="E60" s="13" t="str">
        <x:v>CRCW25121K00FKEGHP</x:v>
      </x:c>
      <x:c r="F60" s="13" t="str">
        <x:v>71-CRCW25121K00FKEGH</x:v>
      </x:c>
      <x:c r="G60" s="3" t="str">
        <x:v>1k / HP</x:v>
      </x:c>
      <x:c r="H60" s="3" t="str">
        <x:v>Rev L cart/user: Ships Now, 2026-10-07</x:v>
      </x:c>
      <x:c r="I60" s="3" t="str"/>
      <x:c r="J60" s="14" t="str">
        <x:v>https://www.mouser.com/en/ProductDetail/Vishay/CRCW25121K00FKEGHP?qs=FlFvgi4rxBxxON%252BaL1o0tw%3D%3D</x:v>
      </x:c>
      <x:c r="K60" s="3" t="str">
        <x:v>Original Rev L order confirmed by user/cart 2026-10-07. No new order placed.</x:v>
      </x:c>
    </x:row>
    <x:row r="61" ht="70" customHeight="1">
      <x:c r="A61" s="3" t="str">
        <x:v>U1</x:v>
      </x:c>
      <x:c r="B61" s="12" t="n">
        <x:v>1</x:v>
      </x:c>
      <x:c r="C61" s="12" t="n">
        <x:v>1</x:v>
      </x:c>
      <x:c r="D61" s="12" t="n">
        <x:v>0</x:v>
      </x:c>
      <x:c r="E61" s="13" t="str">
        <x:v>TMR 6-4811WI</x:v>
      </x:c>
      <x:c r="F61" s="13" t="str">
        <x:v>495-TMR6-4811WI</x:v>
      </x:c>
      <x:c r="G61" s="3" t="str">
        <x:v>TMR 6-4811WI</x:v>
      </x:c>
      <x:c r="H61" s="3" t="str">
        <x:v>Rev L cart/user: Ships Now, 2026-10-07</x:v>
      </x:c>
      <x:c r="I61" s="3" t="str"/>
      <x:c r="J61" s="14" t="str">
        <x:v>https://www.mouser.com/ProductDetail/TRACO-Power/TMR-6-4811WI?qs=ckJk83FOD0UAmUqczzNEJg%3D%3D</x:v>
      </x:c>
      <x:c r="K61" s="3" t="str">
        <x:v>Original Rev L order confirmed by user/cart 2026-10-07. No new order placed.</x:v>
      </x:c>
    </x:row>
    <x:row r="62" ht="70" customHeight="1">
      <x:c r="A62" s="3" t="str">
        <x:v>U2, U3</x:v>
      </x:c>
      <x:c r="B62" s="12" t="n">
        <x:v>2</x:v>
      </x:c>
      <x:c r="C62" s="12" t="n">
        <x:v>2</x:v>
      </x:c>
      <x:c r="D62" s="12" t="n">
        <x:v>0</x:v>
      </x:c>
      <x:c r="E62" s="13" t="str">
        <x:v>LM66100DCKR</x:v>
      </x:c>
      <x:c r="F62" s="13" t="str">
        <x:v>595-LM66100DCKR</x:v>
      </x:c>
      <x:c r="G62" s="3" t="str">
        <x:v>LM66100DCKR</x:v>
      </x:c>
      <x:c r="H62" s="3" t="str">
        <x:v>Rev L cart/user: Ships Now, 2026-10-07</x:v>
      </x:c>
      <x:c r="I62" s="3" t="str"/>
      <x:c r="J62" s="14" t="str">
        <x:v>https://www.mouser.de/ProductDetail/Texas-Instruments/LM66100DCKR?qs=vLWxofP3U2y2yPPrXoBBoA%3D%3D</x:v>
      </x:c>
      <x:c r="K62" s="3" t="str">
        <x:v>Original Rev L order confirmed by user/cart 2026-10-07. No new order placed.</x:v>
      </x:c>
    </x:row>
    <x:row r="63" ht="70" customHeight="1">
      <x:c r="A63" s="3" t="str">
        <x:v>U4</x:v>
      </x:c>
      <x:c r="B63" s="12" t="n">
        <x:v>1</x:v>
      </x:c>
      <x:c r="C63" s="12" t="n">
        <x:v>1</x:v>
      </x:c>
      <x:c r="D63" s="12" t="n">
        <x:v>0</x:v>
      </x:c>
      <x:c r="E63" s="13" t="str">
        <x:v>LTV-817S-B</x:v>
      </x:c>
      <x:c r="F63" s="13" t="str">
        <x:v>859-LTV-817S-B</x:v>
      </x:c>
      <x:c r="G63" s="3" t="str">
        <x:v>LTV-817S-B</x:v>
      </x:c>
      <x:c r="H63" s="3" t="str">
        <x:v>Rev L cart/user: Ships Now, 2026-10-07</x:v>
      </x:c>
      <x:c r="I63" s="3" t="str"/>
      <x:c r="J63" s="14" t="str">
        <x:v>https://www.mouser.com/en/ProductDetail/LITEON/LTV-817S-B?qs=WAWaI72GHKy6iXsVhn7oGQ%3D%3D</x:v>
      </x:c>
      <x:c r="K63" s="3" t="str">
        <x:v>Original Rev L order confirmed by user/cart 2026-10-07. No new order placed.</x:v>
      </x:c>
    </x:row>
    <x:row r="64" ht="70" customHeight="1">
      <x:c r="A64" s="3" t="str">
        <x:v>U5</x:v>
      </x:c>
      <x:c r="B64" s="12" t="n">
        <x:v>1</x:v>
      </x:c>
      <x:c r="C64" s="12" t="n">
        <x:v>1</x:v>
      </x:c>
      <x:c r="D64" s="12" t="n">
        <x:v>0</x:v>
      </x:c>
      <x:c r="E64" s="13" t="str">
        <x:v>LM70860RRXR</x:v>
      </x:c>
      <x:c r="F64" s="13" t="str">
        <x:v>595-LM70860RRXR</x:v>
      </x:c>
      <x:c r="G64" s="3" t="str">
        <x:v>LM70860RRXR</x:v>
      </x:c>
      <x:c r="H64" s="3" t="str">
        <x:v>Rev L cart/user: Ships Now, 2026-10-07</x:v>
      </x:c>
      <x:c r="I64" s="3" t="str"/>
      <x:c r="J64" s="14" t="str">
        <x:v>https://www.mouser.fr/ProductDetail/Texas-Instruments/LM70860RRXR?qs=olJun0bQHM9pFS2lMy77Eg%3D%3D</x:v>
      </x:c>
      <x:c r="K64" s="3" t="str">
        <x:v>Original Rev L order confirmed by user/cart 2026-10-07. No new order placed.</x:v>
      </x:c>
    </x:row>
    <x:row r="65" ht="70" customHeight="1">
      <x:c r="A65" s="3" t="str">
        <x:v>U6</x:v>
      </x:c>
      <x:c r="B65" s="12" t="n">
        <x:v>1</x:v>
      </x:c>
      <x:c r="C65" s="12" t="n">
        <x:v>1</x:v>
      </x:c>
      <x:c r="D65" s="12" t="n">
        <x:v>0</x:v>
      </x:c>
      <x:c r="E65" s="13" t="str">
        <x:v>TLV3012BIDBVR</x:v>
      </x:c>
      <x:c r="F65" s="13" t="str">
        <x:v>595-TLV3012BIDBVR</x:v>
      </x:c>
      <x:c r="G65" s="3" t="str">
        <x:v>TLV3012BIDBVR</x:v>
      </x:c>
      <x:c r="H65" s="3" t="str">
        <x:v>Rev L cart/user: Ships Now, 2026-10-07</x:v>
      </x:c>
      <x:c r="I65" s="3" t="str"/>
      <x:c r="J65" s="14" t="str">
        <x:v>https://www.mouser.com/en/ProductDetail/Texas-Instruments/TLV3012BIDBVR?qs=3Rah4i%252BhyCH9tZq4dUkfSw%3D%3D</x:v>
      </x:c>
      <x:c r="K65" s="3" t="str">
        <x:v>Original Rev L order confirmed by user/cart 2026-10-07. No new order placed.</x:v>
      </x:c>
    </x:row>
    <x:row r="66" ht="100" customHeight="1">
      <x:c r="A66" s="3" t="str">
        <x:v>U11</x:v>
      </x:c>
      <x:c r="B66" s="12" t="n">
        <x:v>1</x:v>
      </x:c>
      <x:c r="C66" s="12" t="n">
        <x:v>1</x:v>
      </x:c>
      <x:c r="D66" s="12" t="n">
        <x:v>1</x:v>
      </x:c>
      <x:c r="E66" s="13" t="str">
        <x:v>TLV75533PDBVR</x:v>
      </x:c>
      <x:c r="F66" s="13" t="str">
        <x:v>595-TLV75533PDBVR</x:v>
      </x:c>
      <x:c r="G66" s="3" t="str">
        <x:v>TLV75533 / LOCAL 3V3</x:v>
      </x:c>
      <x:c r="H66" s="3" t="str">
        <x:v>Indexed in stock; cart not verified</x:v>
      </x:c>
      <x:c r="I66" s="3"/>
      <x:c r="J66" s="14" t="str">
        <x:v>https://www.mouser.com/en/ProductDetail/Texas-Instruments/TLV75533PDBVR?qs=55YtniHzbhAKEwqeO2xJXQ%3D%3D</x:v>
      </x:c>
      <x:c r="K66" s="3" t="str">
        <x:v>Mouser indexed regional listing: 79,173 in stock; retrieved 2026-10-07, index crawled about 3 weeks earlier; live cart not verified Added relative to Rev L: U11.</x:v>
      </x:c>
    </x:row>
  </x:sheetData>
  <x:mergeCells>
    <x:mergeCell ref="A1:H1"/>
    <x:mergeCell ref="A2:H2"/>
    <x:mergeCell ref="A3:H3"/>
    <x:mergeCell ref="A4:H4"/>
    <x:mergeCell ref="A5:H5"/>
    <x:mergeCell ref="E6:H6"/>
  </x:mergeCells>
  <x:pageMargins left="0.7" right="0.7" top="0.75" bottom="0.75" header="0.3" footer="0.3"/>
  <x:tableParts count="1">
    <x:tablePart xmlns:r="http://schemas.openxmlformats.org/officeDocument/2006/relationships" r:id="Rd01e70ae73594b67"/>
  </x:tableParts>
</x:worksheet>
</file>